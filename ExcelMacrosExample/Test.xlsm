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filterPrivacy="1" codeName="ЭтаКнига"/>
  <xr:revisionPtr revIDLastSave="0" documentId="13_ncr:1_{A4169FEF-9D8E-4461-BB9E-EF7058C064B0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Test" sheetId="1" r:id="rId1"/>
  </sheets>
  <definedNames>
    <definedName name="solver_adj" localSheetId="0" hidden="1">Test!$B$22:$B$23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Test!$B$22:$B$23</definedName>
    <definedName name="solver_lhs2" localSheetId="0" hidden="1">Test!$B$24</definedName>
    <definedName name="solver_lhs3" localSheetId="0" hidden="1">Test!$B$20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Test!$B$19</definedName>
    <definedName name="solver_pre" localSheetId="0" hidden="1">0.0001</definedName>
    <definedName name="solver_rbv" localSheetId="0" hidden="1">2</definedName>
    <definedName name="solver_rel1" localSheetId="0" hidden="1">3</definedName>
    <definedName name="solver_rel2" localSheetId="0" hidden="1">1</definedName>
    <definedName name="solver_rel3" localSheetId="0" hidden="1">3</definedName>
    <definedName name="solver_rhs1" localSheetId="0" hidden="1">0</definedName>
    <definedName name="solver_rhs2" localSheetId="0" hidden="1">Test!$B$11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1" l="1"/>
  <c r="B20" i="1"/>
  <c r="B19" i="1"/>
</calcChain>
</file>

<file path=xl/sharedStrings.xml><?xml version="1.0" encoding="utf-8"?>
<sst xmlns="http://schemas.openxmlformats.org/spreadsheetml/2006/main" count="25" uniqueCount="25">
  <si>
    <t>Параметры</t>
  </si>
  <si>
    <t>Величина</t>
  </si>
  <si>
    <t>Температура, °С:</t>
  </si>
  <si>
    <t>толщина огнеупорнойстенки, м</t>
  </si>
  <si>
    <t>толщина изоляции x1 м</t>
  </si>
  <si>
    <t>толщина изоляции x2 м</t>
  </si>
  <si>
    <t>Ограничение на температуру наружной стенки</t>
  </si>
  <si>
    <t>Максимальная суммарная толщина, м</t>
  </si>
  <si>
    <t>Суммарная толщина изоляции (расчетная), м</t>
  </si>
  <si>
    <t>Коэффициент теплопроводности, Вт/(м×°С):</t>
  </si>
  <si>
    <t>Стоимость материала изоляции, усл.ед./м2:</t>
  </si>
  <si>
    <t>·         1-го материала (С1);</t>
  </si>
  <si>
    <t>·         2-го материала (С2).</t>
  </si>
  <si>
    <t>·         наружной поверхности (tНПmax )</t>
  </si>
  <si>
    <t>Коэффициент теплоотдачи, Вт/(м2×°С):</t>
  </si>
  <si>
    <t>Расчет оптимальной толщины трехслойной тепловой изолятции плоской стенки</t>
  </si>
  <si>
    <t>Целевая значения</t>
  </si>
  <si>
    <t>Исходные данные для расчета (вариант 1)</t>
  </si>
  <si>
    <r>
      <t>·         внутренний (</t>
    </r>
    <r>
      <rPr>
        <b/>
        <sz val="11"/>
        <color theme="1"/>
        <rFont val="Calibri"/>
        <family val="2"/>
        <charset val="204"/>
      </rPr>
      <t>α</t>
    </r>
    <r>
      <rPr>
        <b/>
        <sz val="11"/>
        <color theme="1"/>
        <rFont val="Calibri"/>
        <family val="2"/>
        <scheme val="minor"/>
      </rPr>
      <t>раб);</t>
    </r>
  </si>
  <si>
    <t>·         наружный (αнар)</t>
  </si>
  <si>
    <t>·         1-го материала изоляции (λ1)</t>
  </si>
  <si>
    <t>·         2-го материала изоляции (λ2)</t>
  </si>
  <si>
    <t>·         материала огнеупорной стенки (λогн);</t>
  </si>
  <si>
    <t>·         рабочей среды в печи (t')</t>
  </si>
  <si>
    <t>·         окружающей среды (t'')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</si>
</sst>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3">
    <xf numFmtId="0" fontId="0" fillId="0" borderId="0" xfId="0"/>
    <xf numFmtId="0" fontId="1" fillId="0" borderId="0" xfId="0" applyFont="1"/>
    <xf numFmtId="0" fontId="5" fillId="2" borderId="1" xfId="1" applyFont="1" applyAlignment="1">
      <alignment horizontal="center" vertical="center" wrapText="1"/>
    </xf>
    <xf numFmtId="0" fontId="5" fillId="2" borderId="1" xfId="1" applyFont="1" applyAlignment="1">
      <alignment horizontal="justify" vertical="center" wrapText="1"/>
    </xf>
    <xf numFmtId="2" fontId="5" fillId="4" borderId="1" xfId="1" applyNumberFormat="1" applyFont="1" applyFill="1" applyAlignment="1">
      <alignment horizontal="center" vertical="center" wrapText="1"/>
    </xf>
    <xf numFmtId="164" fontId="5" fillId="3" borderId="1" xfId="1" applyNumberFormat="1" applyFont="1" applyFill="1" applyAlignment="1">
      <alignment horizontal="center" vertical="center" wrapText="1"/>
    </xf>
    <xf numFmtId="0" fontId="3" fillId="0" borderId="0" xfId="0" applyFont="1" applyAlignment="1"/>
    <xf numFmtId="164" fontId="5" fillId="2" borderId="1" xfId="1" applyNumberFormat="1" applyFont="1" applyAlignment="1">
      <alignment horizontal="center" vertical="center" wrapText="1"/>
    </xf>
    <xf numFmtId="0" fontId="5" fillId="2" borderId="2" xfId="1" applyFont="1" applyBorder="1" applyAlignment="1">
      <alignment horizontal="center" vertical="center" wrapText="1"/>
    </xf>
    <xf numFmtId="0" fontId="5" fillId="2" borderId="3" xfId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4" fontId="0" fillId="0" borderId="0" xfId="0" applyNumberFormat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Толщина изоляции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35828111521024941"/>
          <c:y val="0.20271794871794882"/>
          <c:w val="0.29043096011599973"/>
          <c:h val="0.63894811225520021"/>
        </c:manualLayout>
      </c:layout>
      <c:pieChart>
        <c:varyColors val="1"/>
        <c:ser>
          <c:idx val="0"/>
          <c:order val="0"/>
          <c:tx>
            <c:v>Ряд1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F2-4F4A-9B26-C1E9A7168D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F2-4F4A-9B26-C1E9A7168D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99-485A-93C7-7EB7014A382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F99-485A-93C7-7EB7014A38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Test!$A$21:$A$24</c:f>
              <c:strCache>
                <c:ptCount val="4"/>
                <c:pt idx="0">
                  <c:v>толщина огнеупорнойстенки, м</c:v>
                </c:pt>
                <c:pt idx="1">
                  <c:v>толщина изоляции x2 м</c:v>
                </c:pt>
                <c:pt idx="2">
                  <c:v>толщина изоляции x1 м</c:v>
                </c:pt>
                <c:pt idx="3">
                  <c:v>Суммарная толщина изоляции (расчетная), м</c:v>
                </c:pt>
              </c:strCache>
            </c:strRef>
          </c:cat>
          <c:val>
            <c:numRef>
              <c:f>Test!$B$21:$B$24</c:f>
              <c:numCache>
                <c:formatCode>0.000</c:formatCode>
                <c:ptCount val="4"/>
                <c:pt idx="0" formatCode="General">
                  <c:v>0.16</c:v>
                </c:pt>
                <c:pt idx="1">
                  <c:v>0.10633344796067307</c:v>
                </c:pt>
                <c:pt idx="2">
                  <c:v>3.3666552039326933E-2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5-45AD-8B4E-BF0B89C69A6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6</xdr:row>
      <xdr:rowOff>228600</xdr:rowOff>
    </xdr:from>
    <xdr:to>
      <xdr:col>6</xdr:col>
      <xdr:colOff>304800</xdr:colOff>
      <xdr:row>21</xdr:row>
      <xdr:rowOff>247650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24"/>
  <sheetViews>
    <sheetView tabSelected="1" zoomScale="70" zoomScaleNormal="70" workbookViewId="0">
      <selection activeCell="D27" sqref="D27"/>
    </sheetView>
  </sheetViews>
  <sheetFormatPr defaultRowHeight="15" x14ac:dyDescent="0.25"/>
  <cols>
    <col min="1" max="1" width="49.5703125" customWidth="1"/>
    <col min="2" max="2" width="20.42578125" customWidth="1"/>
    <col min="3" max="3" width="17" customWidth="1"/>
    <col min="4" max="4" width="14.42578125" customWidth="1"/>
  </cols>
  <sheetData>
    <row r="1" spans="1:5" ht="19.5" customHeight="1" x14ac:dyDescent="0.25">
      <c r="A1" s="10" t="s">
        <v>15</v>
      </c>
      <c r="B1" s="11"/>
      <c r="C1" s="6"/>
    </row>
    <row r="2" spans="1:5" x14ac:dyDescent="0.25">
      <c r="A2" s="8" t="s">
        <v>17</v>
      </c>
      <c r="B2" s="9"/>
    </row>
    <row r="3" spans="1:5" x14ac:dyDescent="0.25">
      <c r="A3" s="2" t="s">
        <v>0</v>
      </c>
      <c r="B3" s="2" t="s">
        <v>1</v>
      </c>
    </row>
    <row r="4" spans="1:5" ht="15.75" customHeight="1" x14ac:dyDescent="0.25">
      <c r="A4" s="3" t="s">
        <v>9</v>
      </c>
      <c r="B4" s="3"/>
    </row>
    <row r="5" spans="1:5" x14ac:dyDescent="0.25">
      <c r="A5" s="3" t="s">
        <v>22</v>
      </c>
      <c r="B5" s="2">
        <v>24</v>
      </c>
    </row>
    <row r="6" spans="1:5" x14ac:dyDescent="0.25">
      <c r="A6" s="3" t="s">
        <v>20</v>
      </c>
      <c r="B6" s="2">
        <v>1</v>
      </c>
    </row>
    <row r="7" spans="1:5" ht="18.75" x14ac:dyDescent="0.3">
      <c r="A7" s="3" t="s">
        <v>21</v>
      </c>
      <c r="B7" s="2">
        <v>0.2</v>
      </c>
      <c r="E7" s="1"/>
    </row>
    <row r="8" spans="1:5" x14ac:dyDescent="0.25">
      <c r="A8" s="3" t="s">
        <v>10</v>
      </c>
      <c r="B8" s="2"/>
    </row>
    <row r="9" spans="1:5" x14ac:dyDescent="0.25">
      <c r="A9" s="3" t="s">
        <v>11</v>
      </c>
      <c r="B9" s="2">
        <v>1</v>
      </c>
    </row>
    <row r="10" spans="1:5" x14ac:dyDescent="0.25">
      <c r="A10" s="3" t="s">
        <v>12</v>
      </c>
      <c r="B10" s="2">
        <v>8</v>
      </c>
    </row>
    <row r="11" spans="1:5" x14ac:dyDescent="0.25">
      <c r="A11" s="3" t="s">
        <v>7</v>
      </c>
      <c r="B11" s="2">
        <v>0.3</v>
      </c>
    </row>
    <row r="12" spans="1:5" x14ac:dyDescent="0.25">
      <c r="A12" s="3" t="s">
        <v>2</v>
      </c>
      <c r="B12" s="2"/>
    </row>
    <row r="13" spans="1:5" x14ac:dyDescent="0.25">
      <c r="A13" s="3" t="s">
        <v>23</v>
      </c>
      <c r="B13" s="2">
        <v>900</v>
      </c>
    </row>
    <row r="14" spans="1:5" x14ac:dyDescent="0.25">
      <c r="A14" s="3" t="s">
        <v>24</v>
      </c>
      <c r="B14" s="2">
        <v>20</v>
      </c>
    </row>
    <row r="15" spans="1:5" x14ac:dyDescent="0.25">
      <c r="A15" s="3" t="s">
        <v>13</v>
      </c>
      <c r="B15" s="2">
        <v>50</v>
      </c>
    </row>
    <row r="16" spans="1:5" x14ac:dyDescent="0.25">
      <c r="A16" s="3" t="s">
        <v>14</v>
      </c>
      <c r="B16" s="2"/>
    </row>
    <row r="17" spans="1:2" x14ac:dyDescent="0.25">
      <c r="A17" s="3" t="s">
        <v>18</v>
      </c>
      <c r="B17" s="2">
        <v>500</v>
      </c>
    </row>
    <row r="18" spans="1:2" x14ac:dyDescent="0.25">
      <c r="A18" s="3" t="s">
        <v>19</v>
      </c>
      <c r="B18" s="2">
        <v>100</v>
      </c>
    </row>
    <row r="19" spans="1:2" x14ac:dyDescent="0.25">
      <c r="A19" s="3" t="s">
        <v>16</v>
      </c>
      <c r="B19" s="5">
        <f>B22*B9+B23*B10</f>
        <v>0.37566586427528853</v>
      </c>
    </row>
    <row r="20" spans="1:2" x14ac:dyDescent="0.25">
      <c r="A20" s="3" t="s">
        <v>6</v>
      </c>
      <c r="B20" s="4">
        <f>B15-(B14+(B13-B14)/((1/B17+B21/B5+B22/B6+B23/B7+1/B18)*B18))</f>
        <v>-4.6893075918319482E-5</v>
      </c>
    </row>
    <row r="21" spans="1:2" x14ac:dyDescent="0.25">
      <c r="A21" s="3" t="s">
        <v>3</v>
      </c>
      <c r="B21" s="2">
        <v>0.16</v>
      </c>
    </row>
    <row r="22" spans="1:2" ht="21.75" customHeight="1" x14ac:dyDescent="0.25">
      <c r="A22" s="3" t="s">
        <v>5</v>
      </c>
      <c r="B22" s="12">
        <v>0.10633344796067307</v>
      </c>
    </row>
    <row r="23" spans="1:2" x14ac:dyDescent="0.25">
      <c r="A23" s="3" t="s">
        <v>4</v>
      </c>
      <c r="B23" s="12">
        <v>3.3666552039326933E-2</v>
      </c>
    </row>
    <row r="24" spans="1:2" x14ac:dyDescent="0.25">
      <c r="A24" s="3" t="s">
        <v>8</v>
      </c>
      <c r="B24" s="7">
        <f>B21+B22+B23</f>
        <v>0.3</v>
      </c>
    </row>
  </sheetData>
  <mergeCells count="2">
    <mergeCell ref="A2:B2"/>
    <mergeCell ref="A1:B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2020-11-11T08:20:05Z</dcterms:modified>
</cp:coreProperties>
</file>